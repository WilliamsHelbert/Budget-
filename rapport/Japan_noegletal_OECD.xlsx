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øgletal" sheetId="1" state="visible" r:id="rId1"/>
    <sheet xmlns:r="http://schemas.openxmlformats.org/officeDocument/2006/relationships" name="Vækstbidrag" sheetId="2" state="visible" r:id="rId2"/>
    <sheet xmlns:r="http://schemas.openxmlformats.org/officeDocument/2006/relationships" name="Kildekritik" sheetId="3" state="visible" r:id="rId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b val="1"/>
      <color rgb="001F3864"/>
      <sz val="14"/>
    </font>
    <font>
      <i val="1"/>
      <color rgb="00595959"/>
      <sz val="9"/>
    </font>
    <font>
      <b val="1"/>
      <color rgb="00FFFFFF"/>
      <sz val="11"/>
    </font>
    <font>
      <b val="1"/>
      <sz val="10"/>
    </font>
    <font>
      <i val="1"/>
      <color rgb="00808080"/>
      <sz val="8"/>
    </font>
    <font>
      <sz val="10"/>
    </font>
    <font>
      <b val="1"/>
      <color rgb="009C0006"/>
      <sz val="10"/>
    </font>
  </fonts>
  <fills count="7">
    <fill>
      <patternFill/>
    </fill>
    <fill>
      <patternFill patternType="gray125"/>
    </fill>
    <fill>
      <patternFill patternType="solid">
        <fgColor rgb="001F3864"/>
      </patternFill>
    </fill>
    <fill>
      <patternFill patternType="solid">
        <fgColor rgb="00F2F2F2"/>
      </patternFill>
    </fill>
    <fill>
      <patternFill patternType="solid">
        <fgColor rgb="00FCE4D6"/>
      </patternFill>
    </fill>
    <fill>
      <patternFill patternType="solid">
        <fgColor rgb="00FFF2CC"/>
      </patternFill>
    </fill>
    <fill>
      <patternFill patternType="solid">
        <fgColor rgb="00FFC7C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4" fillId="3" borderId="1" applyAlignment="1" pivotButton="0" quotePrefix="0" xfId="0">
      <alignment horizontal="center"/>
    </xf>
    <xf numFmtId="0" fontId="4" fillId="3" borderId="1" pivotButton="0" quotePrefix="0" xfId="0"/>
    <xf numFmtId="0" fontId="5" fillId="0" borderId="0" pivotButton="0" quotePrefix="0" xfId="0"/>
    <xf numFmtId="0" fontId="4" fillId="0" borderId="1" pivotButton="0" quotePrefix="0" xfId="0"/>
    <xf numFmtId="3" fontId="0" fillId="0" borderId="1" applyAlignment="1" pivotButton="0" quotePrefix="0" xfId="0">
      <alignment horizontal="center"/>
    </xf>
    <xf numFmtId="164" fontId="0" fillId="0" borderId="1" applyAlignment="1" pivotButton="0" quotePrefix="0" xfId="0">
      <alignment horizontal="center"/>
    </xf>
    <xf numFmtId="164" fontId="0" fillId="4" borderId="1" applyAlignment="1" pivotButton="0" quotePrefix="0" xfId="0">
      <alignment horizontal="center"/>
    </xf>
    <xf numFmtId="164" fontId="0" fillId="5" borderId="1" applyAlignment="1" pivotButton="0" quotePrefix="0" xfId="0">
      <alignment horizontal="center"/>
    </xf>
    <xf numFmtId="0" fontId="5" fillId="0" borderId="1" applyAlignment="1" pivotButton="0" quotePrefix="0" xfId="0">
      <alignment vertical="center" wrapText="1"/>
    </xf>
    <xf numFmtId="0" fontId="6" fillId="0" borderId="1" pivotButton="0" quotePrefix="0" xfId="0"/>
    <xf numFmtId="0" fontId="0" fillId="0" borderId="1" pivotButton="0" quotePrefix="0" xfId="0"/>
    <xf numFmtId="0" fontId="4" fillId="0" borderId="0" pivotButton="0" quotePrefix="0" xfId="0"/>
    <xf numFmtId="2" fontId="0" fillId="0" borderId="1" applyAlignment="1" pivotButton="0" quotePrefix="0" xfId="0">
      <alignment horizontal="center"/>
    </xf>
    <xf numFmtId="0" fontId="0" fillId="4" borderId="1" pivotButton="0" quotePrefix="0" xfId="0"/>
    <xf numFmtId="0" fontId="0" fillId="5" borderId="1" pivotButton="0" quotePrefix="0" xfId="0"/>
    <xf numFmtId="0" fontId="6" fillId="0" borderId="0" pivotButton="0" quotePrefix="0" xfId="0"/>
    <xf numFmtId="165" fontId="0" fillId="0" borderId="1" applyAlignment="1" pivotButton="0" quotePrefix="0" xfId="0">
      <alignment horizontal="center"/>
    </xf>
    <xf numFmtId="2" fontId="4" fillId="0" borderId="1" applyAlignment="1" pivotButton="0" quotePrefix="0" xfId="0">
      <alignment horizontal="center"/>
    </xf>
    <xf numFmtId="0" fontId="4" fillId="0" borderId="1" applyAlignment="1" pivotButton="0" quotePrefix="0" xfId="0">
      <alignment horizontal="center"/>
    </xf>
    <xf numFmtId="0" fontId="5" fillId="0" borderId="0" applyAlignment="1" pivotButton="0" quotePrefix="0" xfId="0">
      <alignment wrapText="1"/>
    </xf>
    <xf numFmtId="164" fontId="4" fillId="0" borderId="1" applyAlignment="1" pivotButton="0" quotePrefix="0" xfId="0">
      <alignment horizontal="center"/>
    </xf>
    <xf numFmtId="0" fontId="0" fillId="0" borderId="1" applyAlignment="1" pivotButton="0" quotePrefix="0" xfId="0">
      <alignment horizontal="center"/>
    </xf>
    <xf numFmtId="0" fontId="4" fillId="3"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7" fillId="6" borderId="1" applyAlignment="1" pivotButton="0" quotePrefix="0" xfId="0">
      <alignment vertical="center" wrapText="1"/>
    </xf>
  </cellXfs>
  <cellStyles count="1">
    <cellStyle name="Normal" xfId="0" builtinId="0" hidden="0"/>
  </cellStyles>
  <dxfs count="2">
    <dxf>
      <fill>
        <patternFill patternType="solid">
          <fgColor rgb="00E2EFDA"/>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36" customWidth="1" min="1" max="1"/>
    <col width="13" customWidth="1" min="2" max="2"/>
    <col width="9" customWidth="1" min="3" max="3"/>
    <col width="9" customWidth="1" min="4" max="4"/>
    <col width="9" customWidth="1" min="5" max="5"/>
    <col width="9" customWidth="1" min="6" max="6"/>
    <col width="9" customWidth="1" min="7" max="7"/>
    <col width="9" customWidth="1" min="8" max="8"/>
    <col width="60" customWidth="1" min="9" max="9"/>
  </cols>
  <sheetData>
    <row r="1">
      <c r="A1" s="1" t="inlineStr">
        <is>
          <t>Japans makroøkonomiske nøgletal</t>
        </is>
      </c>
    </row>
    <row r="2">
      <c r="A2" s="2" t="inlineStr">
        <is>
          <t>Kilde: OECD, Economic Outlook nr. ___, [måned] [år], [indsæt dybt link].   ← ÅRGANG SKAL UDFYLDES. Alle tal i afsnit 1-3 skal stamme fra SAMME årgang.</t>
        </is>
      </c>
    </row>
    <row r="3">
      <c r="A3" s="2" t="inlineStr">
        <is>
          <t>Note: Tal fra og med ____ er OECD's fremskrivning og ikke realiserede tal. Orange celler = prognose fra en forældet årgang, som skal erstattes.</t>
        </is>
      </c>
    </row>
    <row r="4">
      <c r="A4" s="2" t="inlineStr">
        <is>
          <t>Enheder er anført ud for hver række. Realvækst = ændring i faste priser.</t>
        </is>
      </c>
    </row>
    <row r="6">
      <c r="A6" s="3" t="inlineStr">
        <is>
          <t xml:space="preserve">  1. FORSYNINGSBALANCE</t>
        </is>
      </c>
      <c r="B6" s="4" t="n"/>
      <c r="C6" s="4" t="n"/>
      <c r="D6" s="4" t="n"/>
      <c r="E6" s="4" t="n"/>
      <c r="F6" s="4" t="n"/>
      <c r="G6" s="4" t="n"/>
      <c r="H6" s="4" t="n"/>
      <c r="I6" s="4" t="n"/>
    </row>
    <row r="7" ht="42" customHeight="1">
      <c r="B7" s="5" t="inlineStr">
        <is>
          <t>Niveau 2020
(mia. USD,
løbende priser)</t>
        </is>
      </c>
      <c r="C7" s="6" t="n">
        <v>2021</v>
      </c>
      <c r="D7" s="6" t="n">
        <v>2022</v>
      </c>
      <c r="E7" s="6" t="n">
        <v>2023</v>
      </c>
      <c r="F7" s="6" t="n">
        <v>2024</v>
      </c>
      <c r="G7" s="6" t="n">
        <v>2025</v>
      </c>
      <c r="H7" s="6" t="n">
        <v>2026</v>
      </c>
      <c r="I7" s="7" t="inlineStr">
        <is>
          <t>Enhed / note</t>
        </is>
      </c>
    </row>
    <row r="8">
      <c r="A8" s="8" t="inlineStr">
        <is>
          <t>Realvækst i pct. i forhold til året før:</t>
        </is>
      </c>
    </row>
    <row r="9">
      <c r="A9" s="9" t="inlineStr">
        <is>
          <t>BNP</t>
        </is>
      </c>
      <c r="B9" s="10" t="n">
        <v>5051</v>
      </c>
      <c r="C9" s="11" t="n">
        <v>2.2</v>
      </c>
      <c r="D9" s="11" t="n">
        <v>0.9</v>
      </c>
      <c r="E9" s="11" t="n">
        <v>1.7</v>
      </c>
      <c r="F9" s="12" t="n">
        <v>1</v>
      </c>
      <c r="G9" s="12" t="n">
        <v>1.2</v>
      </c>
      <c r="H9" s="13" t="n"/>
      <c r="I9" s="14" t="inlineStr">
        <is>
          <t>Pct.</t>
        </is>
      </c>
    </row>
    <row r="10">
      <c r="A10" s="15" t="inlineStr">
        <is>
          <t>Privat forbrug</t>
        </is>
      </c>
      <c r="B10" s="10" t="n">
        <v>2726</v>
      </c>
      <c r="C10" s="11" t="n">
        <v>0.4</v>
      </c>
      <c r="D10" s="11" t="n">
        <v>2</v>
      </c>
      <c r="E10" s="11" t="n">
        <v>0.7</v>
      </c>
      <c r="F10" s="12" t="n">
        <v>0.7</v>
      </c>
      <c r="G10" s="12" t="n">
        <v>0.7</v>
      </c>
      <c r="H10" s="13" t="n"/>
      <c r="I10" s="14" t="inlineStr">
        <is>
          <t>Pct.</t>
        </is>
      </c>
    </row>
    <row r="11">
      <c r="A11" s="15" t="inlineStr">
        <is>
          <t>Offentligt forbrug</t>
        </is>
      </c>
      <c r="B11" s="10" t="n">
        <v>1060</v>
      </c>
      <c r="C11" s="11" t="n">
        <v>3.5</v>
      </c>
      <c r="D11" s="11" t="n">
        <v>1.2</v>
      </c>
      <c r="E11" s="11" t="n">
        <v>0.5</v>
      </c>
      <c r="F11" s="12" t="n">
        <v>-0.3</v>
      </c>
      <c r="G11" s="12" t="n">
        <v>0</v>
      </c>
      <c r="H11" s="13" t="n"/>
      <c r="I11" s="14" t="inlineStr">
        <is>
          <t>Pct.</t>
        </is>
      </c>
    </row>
    <row r="12">
      <c r="A12" s="15" t="inlineStr">
        <is>
          <t>Samlede investeringer</t>
        </is>
      </c>
      <c r="B12" s="10" t="n">
        <v>1291</v>
      </c>
      <c r="C12" s="11" t="n">
        <v>0.2</v>
      </c>
      <c r="D12" s="11" t="n">
        <v>-1</v>
      </c>
      <c r="E12" s="11" t="n">
        <v>1.7</v>
      </c>
      <c r="F12" s="12" t="n">
        <v>2.6</v>
      </c>
      <c r="G12" s="12" t="n">
        <v>2.8</v>
      </c>
      <c r="H12" s="13" t="n"/>
      <c r="I12" s="14" t="inlineStr">
        <is>
          <t>Pct.</t>
        </is>
      </c>
    </row>
    <row r="13">
      <c r="A13" s="15" t="inlineStr">
        <is>
          <t>Eksport</t>
        </is>
      </c>
      <c r="B13" s="10" t="n">
        <v>785</v>
      </c>
      <c r="C13" s="11" t="n">
        <v>11.9</v>
      </c>
      <c r="D13" s="11" t="n">
        <v>5.1</v>
      </c>
      <c r="E13" s="11" t="n">
        <v>2.4</v>
      </c>
      <c r="F13" s="12" t="n">
        <v>3</v>
      </c>
      <c r="G13" s="12" t="n">
        <v>2.4</v>
      </c>
      <c r="H13" s="13" t="n"/>
      <c r="I13" s="14" t="inlineStr">
        <is>
          <t>Pct.</t>
        </is>
      </c>
    </row>
    <row r="14">
      <c r="A14" s="15" t="inlineStr">
        <is>
          <t>Import</t>
        </is>
      </c>
      <c r="B14" s="10" t="n">
        <v>799</v>
      </c>
      <c r="C14" s="11" t="n">
        <v>5.1</v>
      </c>
      <c r="D14" s="11" t="n">
        <v>8</v>
      </c>
      <c r="E14" s="11" t="n">
        <v>-1.3</v>
      </c>
      <c r="F14" s="12" t="n">
        <v>1.8</v>
      </c>
      <c r="G14" s="12" t="n">
        <v>2</v>
      </c>
      <c r="H14" s="13" t="n"/>
      <c r="I14" s="14" t="inlineStr">
        <is>
          <t>Pct.</t>
        </is>
      </c>
    </row>
    <row r="16">
      <c r="A16" s="3" t="inlineStr">
        <is>
          <t xml:space="preserve">  2. ØVRIGE NØGLETAL</t>
        </is>
      </c>
      <c r="B16" s="4" t="n"/>
      <c r="C16" s="4" t="n"/>
      <c r="D16" s="4" t="n"/>
      <c r="E16" s="4" t="n"/>
      <c r="F16" s="4" t="n"/>
      <c r="G16" s="4" t="n"/>
      <c r="H16" s="4" t="n"/>
      <c r="I16" s="4" t="n"/>
    </row>
    <row r="17">
      <c r="C17" s="6" t="n">
        <v>2021</v>
      </c>
      <c r="D17" s="6" t="n">
        <v>2022</v>
      </c>
      <c r="E17" s="6" t="n">
        <v>2023</v>
      </c>
      <c r="F17" s="6" t="n">
        <v>2024</v>
      </c>
      <c r="G17" s="6" t="n">
        <v>2025</v>
      </c>
      <c r="H17" s="6" t="n">
        <v>2026</v>
      </c>
      <c r="I17" s="7" t="inlineStr">
        <is>
          <t>Enhed / note</t>
        </is>
      </c>
    </row>
    <row r="18">
      <c r="A18" s="15" t="inlineStr">
        <is>
          <t>Forbrugerprisændringer</t>
        </is>
      </c>
      <c r="B18" s="16" t="n"/>
      <c r="C18" s="11" t="n">
        <v>-0.2</v>
      </c>
      <c r="D18" s="11" t="n">
        <v>2.5</v>
      </c>
      <c r="E18" s="11" t="n">
        <v>3.2</v>
      </c>
      <c r="F18" s="12" t="n">
        <v>2.6</v>
      </c>
      <c r="G18" s="12" t="n">
        <v>2</v>
      </c>
      <c r="H18" s="13" t="n"/>
      <c r="I18" s="14" t="inlineStr">
        <is>
          <t>Pct. (CPI, årsgns.)</t>
        </is>
      </c>
    </row>
    <row r="19">
      <c r="A19" s="15" t="inlineStr">
        <is>
          <t>Kerneinflation</t>
        </is>
      </c>
      <c r="B19" s="16" t="n"/>
      <c r="C19" s="11" t="n">
        <v>-0.7</v>
      </c>
      <c r="D19" s="11" t="n">
        <v>0.3</v>
      </c>
      <c r="E19" s="11" t="n">
        <v>2.7</v>
      </c>
      <c r="F19" s="12" t="n">
        <v>2.3</v>
      </c>
      <c r="G19" s="12" t="n">
        <v>2</v>
      </c>
      <c r="H19" s="13" t="n"/>
      <c r="I19" s="14" t="inlineStr">
        <is>
          <t>Pct. (ekskl. energi og fødevarer)</t>
        </is>
      </c>
    </row>
    <row r="20">
      <c r="A20" s="15" t="inlineStr">
        <is>
          <t>Ledighed</t>
        </is>
      </c>
      <c r="B20" s="16" t="n"/>
      <c r="C20" s="11" t="n">
        <v>2.8</v>
      </c>
      <c r="D20" s="11" t="n">
        <v>2.6</v>
      </c>
      <c r="E20" s="11" t="n">
        <v>2.6</v>
      </c>
      <c r="F20" s="12" t="n">
        <v>2.5</v>
      </c>
      <c r="G20" s="12" t="n">
        <v>2.4</v>
      </c>
      <c r="H20" s="13" t="n"/>
      <c r="I20" s="14" t="inlineStr">
        <is>
          <t>Pct. af arbejdsstyrken</t>
        </is>
      </c>
    </row>
    <row r="21">
      <c r="A21" s="15" t="inlineStr">
        <is>
          <t>Husholdningernes opsparing</t>
        </is>
      </c>
      <c r="B21" s="16" t="n"/>
      <c r="C21" s="11" t="n">
        <v>7.7</v>
      </c>
      <c r="D21" s="11" t="n">
        <v>5.4</v>
      </c>
      <c r="E21" s="11" t="n">
        <v>3.3</v>
      </c>
      <c r="F21" s="12" t="n">
        <v>3.4</v>
      </c>
      <c r="G21" s="12" t="n">
        <v>1.8</v>
      </c>
      <c r="H21" s="13" t="n"/>
      <c r="I21" s="14" t="inlineStr">
        <is>
          <t>Pct. af disponibel indkomst</t>
        </is>
      </c>
    </row>
    <row r="22">
      <c r="A22" s="15" t="inlineStr">
        <is>
          <t>Offentlig saldo</t>
        </is>
      </c>
      <c r="B22" s="16" t="n"/>
      <c r="C22" s="11" t="n">
        <v>-6.2</v>
      </c>
      <c r="D22" s="11" t="n">
        <v>-5.8</v>
      </c>
      <c r="E22" s="11" t="n">
        <v>-5.2</v>
      </c>
      <c r="F22" s="12" t="n">
        <v>-4.4</v>
      </c>
      <c r="G22" s="12" t="n">
        <v>-3.3</v>
      </c>
      <c r="H22" s="13" t="n"/>
      <c r="I22" s="14" t="inlineStr">
        <is>
          <t>Pct. af BNP (OECD-opgørelse, se ark 'Kildekritik')</t>
        </is>
      </c>
    </row>
    <row r="23">
      <c r="A23" s="15" t="inlineStr">
        <is>
          <t>Offentlig gæld</t>
        </is>
      </c>
      <c r="B23" s="16" t="n"/>
      <c r="C23" s="11" t="n">
        <v>240</v>
      </c>
      <c r="D23" s="11" t="n">
        <v>245.6</v>
      </c>
      <c r="E23" s="11" t="n">
        <v>244.8</v>
      </c>
      <c r="F23" s="12" t="n">
        <v>244.8</v>
      </c>
      <c r="G23" s="12" t="n">
        <v>243.8</v>
      </c>
      <c r="H23" s="13" t="n"/>
      <c r="I23" s="14" t="inlineStr">
        <is>
          <t>Pct. af BNP (brutto, OECD-opgørelse, se ark 'Kildekritik')</t>
        </is>
      </c>
    </row>
    <row r="24">
      <c r="A24" s="15" t="inlineStr">
        <is>
          <t>Betalingsbalancens løbende poster</t>
        </is>
      </c>
      <c r="B24" s="16" t="n"/>
      <c r="C24" s="11" t="n">
        <v>3.9</v>
      </c>
      <c r="D24" s="11" t="n">
        <v>1.8</v>
      </c>
      <c r="E24" s="11" t="n">
        <v>3.4</v>
      </c>
      <c r="F24" s="12" t="n">
        <v>3.8</v>
      </c>
      <c r="G24" s="12" t="n">
        <v>4</v>
      </c>
      <c r="H24" s="13" t="n"/>
      <c r="I24" s="14" t="inlineStr">
        <is>
          <t>Pct. af BNP</t>
        </is>
      </c>
    </row>
    <row r="26">
      <c r="A26" s="3" t="inlineStr">
        <is>
          <t xml:space="preserve">  3. SUPPLERENDE (SAMME KILDE)</t>
        </is>
      </c>
      <c r="B26" s="4" t="n"/>
      <c r="C26" s="4" t="n"/>
      <c r="D26" s="4" t="n"/>
      <c r="E26" s="4" t="n"/>
      <c r="F26" s="4" t="n"/>
      <c r="G26" s="4" t="n"/>
      <c r="H26" s="4" t="n"/>
      <c r="I26" s="4" t="n"/>
    </row>
    <row r="27">
      <c r="C27" s="6" t="n">
        <v>2021</v>
      </c>
      <c r="D27" s="6" t="n">
        <v>2022</v>
      </c>
      <c r="E27" s="6" t="n">
        <v>2023</v>
      </c>
      <c r="F27" s="6" t="n">
        <v>2024</v>
      </c>
      <c r="G27" s="6" t="n">
        <v>2025</v>
      </c>
      <c r="H27" s="6" t="n">
        <v>2026</v>
      </c>
      <c r="I27" s="7" t="inlineStr">
        <is>
          <t>Enhed / note</t>
        </is>
      </c>
    </row>
    <row r="28">
      <c r="A28" s="15" t="inlineStr">
        <is>
          <t>BNP-deflator</t>
        </is>
      </c>
      <c r="B28" s="16" t="n"/>
      <c r="C28" s="11" t="n">
        <v>-0.2</v>
      </c>
      <c r="D28" s="11" t="n">
        <v>0.3</v>
      </c>
      <c r="E28" s="11" t="n">
        <v>3.5</v>
      </c>
      <c r="F28" s="12" t="n">
        <v>2.6</v>
      </c>
      <c r="G28" s="12" t="n">
        <v>2.2</v>
      </c>
      <c r="H28" s="13" t="n"/>
      <c r="I28" s="14" t="inlineStr">
        <is>
          <t>Pct.</t>
        </is>
      </c>
    </row>
    <row r="29">
      <c r="A29" s="15" t="inlineStr">
        <is>
          <t>Nettoeksportens vækstbidrag</t>
        </is>
      </c>
      <c r="B29" s="16" t="n"/>
      <c r="C29" s="11" t="n">
        <v>1</v>
      </c>
      <c r="D29" s="11" t="n">
        <v>-0.6</v>
      </c>
      <c r="E29" s="11" t="n">
        <v>0.8</v>
      </c>
      <c r="F29" s="12" t="n">
        <v>0.2</v>
      </c>
      <c r="G29" s="12" t="n">
        <v>0.1</v>
      </c>
      <c r="H29" s="13" t="n"/>
      <c r="I29" s="14" t="inlineStr">
        <is>
          <t>Pct.point af BNP-væksten</t>
        </is>
      </c>
    </row>
    <row r="30">
      <c r="A30" s="15" t="inlineStr">
        <is>
          <t>Lagerinvesteringers vækstbidrag</t>
        </is>
      </c>
      <c r="B30" s="16" t="n"/>
      <c r="C30" s="11" t="n">
        <v>0.2</v>
      </c>
      <c r="D30" s="11" t="n">
        <v>0.4</v>
      </c>
      <c r="E30" s="11" t="n">
        <v>-0.2</v>
      </c>
      <c r="F30" s="12" t="n">
        <v>-0.2</v>
      </c>
      <c r="G30" s="12" t="n">
        <v>0</v>
      </c>
      <c r="H30" s="13" t="n"/>
      <c r="I30" s="14" t="inlineStr">
        <is>
          <t>Pct.point af BNP-væksten</t>
        </is>
      </c>
    </row>
    <row r="32">
      <c r="A32" s="3" t="inlineStr">
        <is>
          <t xml:space="preserve">  4. LØN, VALUTAKURS OG RENTE  (andre kilder — se ark 'Kildekritik')</t>
        </is>
      </c>
      <c r="B32" s="4" t="n"/>
      <c r="C32" s="4" t="n"/>
      <c r="D32" s="4" t="n"/>
      <c r="E32" s="4" t="n"/>
      <c r="F32" s="4" t="n"/>
      <c r="G32" s="4" t="n"/>
      <c r="H32" s="4" t="n"/>
      <c r="I32" s="4" t="n"/>
    </row>
    <row r="33">
      <c r="C33" s="6" t="n">
        <v>2021</v>
      </c>
      <c r="D33" s="6" t="n">
        <v>2022</v>
      </c>
      <c r="E33" s="6" t="n">
        <v>2023</v>
      </c>
      <c r="F33" s="6" t="n">
        <v>2024</v>
      </c>
      <c r="G33" s="6" t="n">
        <v>2025</v>
      </c>
      <c r="H33" s="6" t="n">
        <v>2026</v>
      </c>
      <c r="I33" s="7" t="inlineStr">
        <is>
          <t>Enhed / note</t>
        </is>
      </c>
    </row>
    <row r="34">
      <c r="A34" s="17" t="inlineStr">
        <is>
          <t>Valutakurs og konkurrenceevne</t>
        </is>
      </c>
    </row>
    <row r="35">
      <c r="A35" s="15" t="inlineStr">
        <is>
          <t>Valutakurs JPY pr. USD (årsgns.)</t>
        </is>
      </c>
      <c r="B35" s="16" t="n"/>
      <c r="C35" s="11" t="n">
        <v>109.8</v>
      </c>
      <c r="D35" s="11" t="n">
        <v>131.5</v>
      </c>
      <c r="E35" s="11" t="n">
        <v>140.5</v>
      </c>
      <c r="F35" s="11" t="n">
        <v>151.5</v>
      </c>
      <c r="G35" s="11" t="n">
        <v>149.6</v>
      </c>
      <c r="H35" s="13" t="n"/>
      <c r="I35" s="14" t="inlineStr">
        <is>
          <t>Yen pr. dollar. Højere tal = svagere yen. VERIFICÉR mod FRED AEXJPUS / BoJ.</t>
        </is>
      </c>
    </row>
    <row r="36">
      <c r="A36" s="15" t="inlineStr">
        <is>
          <t>Effektiv valutakurs (indeks)</t>
        </is>
      </c>
      <c r="B36" s="16" t="n"/>
      <c r="C36" s="13" t="n"/>
      <c r="D36" s="13" t="n"/>
      <c r="E36" s="13" t="n"/>
      <c r="F36" s="13" t="n"/>
      <c r="G36" s="13" t="n"/>
      <c r="H36" s="13" t="n"/>
      <c r="I36" s="14" t="inlineStr">
        <is>
          <t>Indeks. Bedre mål for konkurrenceevne end JPY/USD alene. SKAL SKAFFES: BoJ, 'Effective Exchange Rates'.</t>
        </is>
      </c>
    </row>
    <row r="37">
      <c r="A37" s="15" t="inlineStr">
        <is>
          <t>Bytteforhold (terms of trade)</t>
        </is>
      </c>
      <c r="B37" s="16" t="n"/>
      <c r="C37" s="13" t="n"/>
      <c r="D37" s="13" t="n"/>
      <c r="E37" s="13" t="n"/>
      <c r="F37" s="13" t="n"/>
      <c r="G37" s="13" t="n"/>
      <c r="H37" s="13" t="n"/>
      <c r="I37" s="14" t="inlineStr">
        <is>
          <t>Pct. ændring. Viser om eksportfremgang er mængde eller pris. SKAL SKAFFES: OECD Economic Outlook, samme årgang.</t>
        </is>
      </c>
    </row>
    <row r="39">
      <c r="A39" s="17" t="inlineStr">
        <is>
          <t>Løndannelse</t>
        </is>
      </c>
    </row>
    <row r="40">
      <c r="A40" s="15" t="inlineStr">
        <is>
          <t>Nominel lønudvikling</t>
        </is>
      </c>
      <c r="B40" s="16" t="n"/>
      <c r="C40" s="13" t="n"/>
      <c r="D40" s="13" t="n"/>
      <c r="E40" s="13" t="n"/>
      <c r="F40" s="13" t="n"/>
      <c r="G40" s="13" t="n"/>
      <c r="H40" s="13" t="n"/>
      <c r="I40" s="14" t="inlineStr">
        <is>
          <t>Pct. SKAL SKAFFES: OECD.Stat eller MHLW 'Monthly Labour Survey'.</t>
        </is>
      </c>
    </row>
    <row r="41">
      <c r="A41" s="15" t="inlineStr">
        <is>
          <t>Realløn</t>
        </is>
      </c>
      <c r="B41" s="16" t="n"/>
      <c r="C41" s="13" t="n"/>
      <c r="D41" s="13" t="n"/>
      <c r="E41" s="13" t="n"/>
      <c r="F41" s="13" t="n"/>
      <c r="G41" s="13" t="n"/>
      <c r="H41" s="13" t="n"/>
      <c r="I41" s="14" t="inlineStr">
        <is>
          <t>Pct. Kan beregnes som nominel løn minus forbrugerprisændring. Bærer kæde B i analysen.</t>
        </is>
      </c>
    </row>
    <row r="42">
      <c r="A42" s="15" t="inlineStr">
        <is>
          <t>Shunto — aftalt lønstigning</t>
        </is>
      </c>
      <c r="B42" s="16" t="n"/>
      <c r="C42" s="13" t="n"/>
      <c r="D42" s="13" t="n"/>
      <c r="E42" s="13" t="n"/>
      <c r="F42" s="11" t="n">
        <v>5.1</v>
      </c>
      <c r="G42" s="11" t="n">
        <v>5.3</v>
      </c>
      <c r="H42" s="13" t="n"/>
      <c r="I42" s="14" t="inlineStr">
        <is>
          <t>Pct. Rengo-forhandlede lønstigninger. Dækker KUN organiserede i store virksomheder — ikke hele arbejdsmarkedet. VERIFICÉR mod Rengo/JILPT.</t>
        </is>
      </c>
    </row>
    <row r="44">
      <c r="A44" s="17" t="inlineStr">
        <is>
          <t>Renter</t>
        </is>
      </c>
    </row>
    <row r="45">
      <c r="A45" s="15" t="inlineStr">
        <is>
          <t>Pengepolitisk rente (BoJ), ultimo</t>
        </is>
      </c>
      <c r="B45" s="16" t="n"/>
      <c r="C45" s="18" t="n">
        <v>-0.1</v>
      </c>
      <c r="D45" s="18" t="n">
        <v>-0.1</v>
      </c>
      <c r="E45" s="18" t="n">
        <v>-0.1</v>
      </c>
      <c r="F45" s="18" t="n">
        <v>0.25</v>
      </c>
      <c r="G45" s="13" t="n"/>
      <c r="H45" s="13" t="n"/>
      <c r="I45" s="14" t="inlineStr">
        <is>
          <t>Pct. 2026: 1,00 pct. pr. juli 2026. 2025 SKAL SKAFFES: BoJ 'Statements on Monetary Policy'.</t>
        </is>
      </c>
    </row>
    <row r="46">
      <c r="A46" s="15" t="inlineStr">
        <is>
          <t>10-årig statsobligationsrente</t>
        </is>
      </c>
      <c r="B46" s="16" t="n"/>
      <c r="C46" s="13" t="n"/>
      <c r="D46" s="13" t="n"/>
      <c r="E46" s="13" t="n"/>
      <c r="F46" s="13" t="n"/>
      <c r="G46" s="13" t="n"/>
      <c r="H46" s="13" t="n"/>
      <c r="I46" s="14" t="inlineStr">
        <is>
          <t>Pct., årsgns. Helt central for kæde D (gældsdynamikken). SKAL SKAFFES: OECD 'Long-term interest rates' eller BoJ.</t>
        </is>
      </c>
    </row>
    <row r="48">
      <c r="A48" s="17" t="inlineStr">
        <is>
          <t>Demografi</t>
        </is>
      </c>
    </row>
    <row r="49">
      <c r="A49" s="15" t="inlineStr">
        <is>
          <t>Befolkning</t>
        </is>
      </c>
      <c r="B49" s="16" t="n"/>
      <c r="C49" s="13" t="n"/>
      <c r="D49" s="13" t="n"/>
      <c r="E49" s="13" t="n"/>
      <c r="F49" s="13" t="n"/>
      <c r="G49" s="13" t="n"/>
      <c r="H49" s="13" t="n"/>
      <c r="I49" s="14" t="inlineStr">
        <is>
          <t>Mio. personer. Forklarer hvorfor BNP pr. indbygger vokser hurtigere end BNP. SKAL SKAFFES: OECD / Statistics Bureau of Japan.</t>
        </is>
      </c>
    </row>
    <row r="50">
      <c r="A50" s="15" t="inlineStr">
        <is>
          <t>Arbejdsstyrke</t>
        </is>
      </c>
      <c r="B50" s="16" t="n"/>
      <c r="C50" s="13" t="n"/>
      <c r="D50" s="13" t="n"/>
      <c r="E50" s="13" t="n"/>
      <c r="F50" s="13" t="n"/>
      <c r="G50" s="13" t="n"/>
      <c r="H50" s="13" t="n"/>
      <c r="I50" s="14" t="inlineStr">
        <is>
          <t>Mio. personer. Forklarer den lave ledighed uden lønpres (kæde C). SKAL SKAFFES: OECD / Statistics Bureau of Japan.</t>
        </is>
      </c>
    </row>
    <row r="52">
      <c r="A52" s="17" t="inlineStr">
        <is>
          <t>SIGNATURFORKLARING</t>
        </is>
      </c>
    </row>
    <row r="53">
      <c r="A53" s="8" t="inlineStr">
        <is>
          <t>Forældet prognose fra en tidligere OECD-årgang. Skal erstattes med realiserede tal.</t>
        </is>
      </c>
      <c r="B53" s="19" t="n"/>
    </row>
    <row r="54">
      <c r="A54" s="8" t="inlineStr">
        <is>
          <t>Tom celle som skal udfyldes. Se kolonnen 'Enhed / note' for kilde.</t>
        </is>
      </c>
      <c r="B54" s="20"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0"/>
  <sheetViews>
    <sheetView workbookViewId="0">
      <selection activeCell="A1" sqref="A1"/>
    </sheetView>
  </sheetViews>
  <sheetFormatPr baseColWidth="8" defaultRowHeight="15"/>
  <cols>
    <col width="32"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c r="A1" s="1" t="inlineStr">
        <is>
          <t>Vækstbidrag til BNP-væksten</t>
        </is>
      </c>
    </row>
    <row r="2">
      <c r="A2" s="2" t="inlineStr">
        <is>
          <t>Beregnet som komponentens andel af BNP i 2020 ganget med dens realvækst. Alle tal opdateres automatisk, når du retter i arket 'Nøgletal'.</t>
        </is>
      </c>
    </row>
    <row r="3">
      <c r="A3" s="2" t="inlineStr">
        <is>
          <t>Enhed: pct.point af BNP-væksten.</t>
        </is>
      </c>
    </row>
    <row r="5">
      <c r="A5" s="3" t="inlineStr">
        <is>
          <t xml:space="preserve">  ANDEL AF BNP I 2020</t>
        </is>
      </c>
      <c r="B5" s="4" t="n"/>
      <c r="C5" s="4" t="n"/>
      <c r="D5" s="4" t="n"/>
      <c r="E5" s="4" t="n"/>
      <c r="F5" s="4" t="n"/>
      <c r="G5" s="4" t="n"/>
      <c r="H5" s="4" t="n"/>
    </row>
    <row r="6">
      <c r="A6" s="17" t="inlineStr">
        <is>
          <t>Komponent</t>
        </is>
      </c>
      <c r="B6" s="17" t="inlineStr">
        <is>
          <t>Andel af BNP</t>
        </is>
      </c>
    </row>
    <row r="7">
      <c r="A7" s="21" t="inlineStr">
        <is>
          <t>Privat forbrug</t>
        </is>
      </c>
      <c r="B7" s="22">
        <f>'Nøgletal'!B10/'Nøgletal'!$B$9</f>
        <v/>
      </c>
    </row>
    <row r="8">
      <c r="A8" s="21" t="inlineStr">
        <is>
          <t>Offentligt forbrug</t>
        </is>
      </c>
      <c r="B8" s="22">
        <f>'Nøgletal'!B11/'Nøgletal'!$B$9</f>
        <v/>
      </c>
    </row>
    <row r="9">
      <c r="A9" s="21" t="inlineStr">
        <is>
          <t>Samlede investeringer</t>
        </is>
      </c>
      <c r="B9" s="22">
        <f>'Nøgletal'!B12/'Nøgletal'!$B$9</f>
        <v/>
      </c>
    </row>
    <row r="10">
      <c r="A10" s="21" t="inlineStr">
        <is>
          <t>Eksport</t>
        </is>
      </c>
      <c r="B10" s="22">
        <f>'Nøgletal'!B13/'Nøgletal'!$B$9</f>
        <v/>
      </c>
    </row>
    <row r="11">
      <c r="A11" s="21" t="inlineStr">
        <is>
          <t>Import</t>
        </is>
      </c>
      <c r="B11" s="22">
        <f>'Nøgletal'!B14/'Nøgletal'!$B$9</f>
        <v/>
      </c>
    </row>
    <row r="13">
      <c r="A13" s="3" t="inlineStr">
        <is>
          <t xml:space="preserve">  VÆKSTBIDRAG PR. ÅR</t>
        </is>
      </c>
      <c r="B13" s="4" t="n"/>
      <c r="C13" s="4" t="n"/>
      <c r="D13" s="4" t="n"/>
      <c r="E13" s="4" t="n"/>
      <c r="F13" s="4" t="n"/>
      <c r="G13" s="4" t="n"/>
      <c r="H13" s="4" t="n"/>
    </row>
    <row r="14">
      <c r="A14" s="17" t="inlineStr"/>
      <c r="B14" s="6" t="n">
        <v>2021</v>
      </c>
      <c r="C14" s="6" t="n">
        <v>2022</v>
      </c>
      <c r="D14" s="6" t="n">
        <v>2023</v>
      </c>
      <c r="E14" s="6" t="n">
        <v>2024</v>
      </c>
      <c r="F14" s="6" t="n">
        <v>2025</v>
      </c>
      <c r="G14" s="6" t="n">
        <v>2026</v>
      </c>
    </row>
    <row r="15">
      <c r="A15" s="15" t="inlineStr">
        <is>
          <t>Privat forbrug</t>
        </is>
      </c>
      <c r="B15" s="18">
        <f>IF('Nøgletal'!C10="","",'Nøgletal'!$B$10/'Nøgletal'!$B$9*'Nøgletal'!C10)</f>
        <v/>
      </c>
      <c r="C15" s="18">
        <f>IF('Nøgletal'!D10="","",'Nøgletal'!$B$10/'Nøgletal'!$B$9*'Nøgletal'!D10)</f>
        <v/>
      </c>
      <c r="D15" s="18">
        <f>IF('Nøgletal'!E10="","",'Nøgletal'!$B$10/'Nøgletal'!$B$9*'Nøgletal'!E10)</f>
        <v/>
      </c>
      <c r="E15" s="18">
        <f>IF('Nøgletal'!F10="","",'Nøgletal'!$B$10/'Nøgletal'!$B$9*'Nøgletal'!F10)</f>
        <v/>
      </c>
      <c r="F15" s="18">
        <f>IF('Nøgletal'!G10="","",'Nøgletal'!$B$10/'Nøgletal'!$B$9*'Nøgletal'!G10)</f>
        <v/>
      </c>
      <c r="G15" s="18">
        <f>IF('Nøgletal'!H10="","",'Nøgletal'!$B$10/'Nøgletal'!$B$9*'Nøgletal'!H10)</f>
        <v/>
      </c>
    </row>
    <row r="16">
      <c r="A16" s="15" t="inlineStr">
        <is>
          <t>Offentligt forbrug</t>
        </is>
      </c>
      <c r="B16" s="18">
        <f>IF('Nøgletal'!C11="","",'Nøgletal'!$B$11/'Nøgletal'!$B$9*'Nøgletal'!C11)</f>
        <v/>
      </c>
      <c r="C16" s="18">
        <f>IF('Nøgletal'!D11="","",'Nøgletal'!$B$11/'Nøgletal'!$B$9*'Nøgletal'!D11)</f>
        <v/>
      </c>
      <c r="D16" s="18">
        <f>IF('Nøgletal'!E11="","",'Nøgletal'!$B$11/'Nøgletal'!$B$9*'Nøgletal'!E11)</f>
        <v/>
      </c>
      <c r="E16" s="18">
        <f>IF('Nøgletal'!F11="","",'Nøgletal'!$B$11/'Nøgletal'!$B$9*'Nøgletal'!F11)</f>
        <v/>
      </c>
      <c r="F16" s="18">
        <f>IF('Nøgletal'!G11="","",'Nøgletal'!$B$11/'Nøgletal'!$B$9*'Nøgletal'!G11)</f>
        <v/>
      </c>
      <c r="G16" s="18">
        <f>IF('Nøgletal'!H11="","",'Nøgletal'!$B$11/'Nøgletal'!$B$9*'Nøgletal'!H11)</f>
        <v/>
      </c>
    </row>
    <row r="17">
      <c r="A17" s="15" t="inlineStr">
        <is>
          <t>Samlede investeringer</t>
        </is>
      </c>
      <c r="B17" s="18">
        <f>IF('Nøgletal'!C12="","",'Nøgletal'!$B$12/'Nøgletal'!$B$9*'Nøgletal'!C12)</f>
        <v/>
      </c>
      <c r="C17" s="18">
        <f>IF('Nøgletal'!D12="","",'Nøgletal'!$B$12/'Nøgletal'!$B$9*'Nøgletal'!D12)</f>
        <v/>
      </c>
      <c r="D17" s="18">
        <f>IF('Nøgletal'!E12="","",'Nøgletal'!$B$12/'Nøgletal'!$B$9*'Nøgletal'!E12)</f>
        <v/>
      </c>
      <c r="E17" s="18">
        <f>IF('Nøgletal'!F12="","",'Nøgletal'!$B$12/'Nøgletal'!$B$9*'Nøgletal'!F12)</f>
        <v/>
      </c>
      <c r="F17" s="18">
        <f>IF('Nøgletal'!G12="","",'Nøgletal'!$B$12/'Nøgletal'!$B$9*'Nøgletal'!G12)</f>
        <v/>
      </c>
      <c r="G17" s="18">
        <f>IF('Nøgletal'!H12="","",'Nøgletal'!$B$12/'Nøgletal'!$B$9*'Nøgletal'!H12)</f>
        <v/>
      </c>
    </row>
    <row r="18">
      <c r="A18" s="15" t="inlineStr">
        <is>
          <t>Nettoeksport</t>
        </is>
      </c>
      <c r="B18" s="18">
        <f>IF('Nøgletal'!C29="","",'Nøgletal'!C29)</f>
        <v/>
      </c>
      <c r="C18" s="18">
        <f>IF('Nøgletal'!D29="","",'Nøgletal'!D29)</f>
        <v/>
      </c>
      <c r="D18" s="18">
        <f>IF('Nøgletal'!E29="","",'Nøgletal'!E29)</f>
        <v/>
      </c>
      <c r="E18" s="18">
        <f>IF('Nøgletal'!F29="","",'Nøgletal'!F29)</f>
        <v/>
      </c>
      <c r="F18" s="18">
        <f>IF('Nøgletal'!G29="","",'Nøgletal'!G29)</f>
        <v/>
      </c>
      <c r="G18" s="18">
        <f>IF('Nøgletal'!H29="","",'Nøgletal'!H29)</f>
        <v/>
      </c>
    </row>
    <row r="19">
      <c r="A19" s="15" t="inlineStr">
        <is>
          <t>Lagerinvesteringer</t>
        </is>
      </c>
      <c r="B19" s="18">
        <f>IF('Nøgletal'!C30="","",'Nøgletal'!C30)</f>
        <v/>
      </c>
      <c r="C19" s="18">
        <f>IF('Nøgletal'!D30="","",'Nøgletal'!D30)</f>
        <v/>
      </c>
      <c r="D19" s="18">
        <f>IF('Nøgletal'!E30="","",'Nøgletal'!E30)</f>
        <v/>
      </c>
      <c r="E19" s="18">
        <f>IF('Nøgletal'!F30="","",'Nøgletal'!F30)</f>
        <v/>
      </c>
      <c r="F19" s="18">
        <f>IF('Nøgletal'!G30="","",'Nøgletal'!G30)</f>
        <v/>
      </c>
      <c r="G19" s="18">
        <f>IF('Nøgletal'!H30="","",'Nøgletal'!H30)</f>
        <v/>
      </c>
    </row>
    <row r="20">
      <c r="A20" s="9" t="inlineStr">
        <is>
          <t>Sum af bidrag</t>
        </is>
      </c>
      <c r="B20" s="23">
        <f>IF(COUNT(B15:B19)=0,"",SUM(B15:B19))</f>
        <v/>
      </c>
      <c r="C20" s="23">
        <f>IF(COUNT(C15:C19)=0,"",SUM(C15:C19))</f>
        <v/>
      </c>
      <c r="D20" s="23">
        <f>IF(COUNT(D15:D19)=0,"",SUM(D15:D19))</f>
        <v/>
      </c>
      <c r="E20" s="23">
        <f>IF(COUNT(E15:E19)=0,"",SUM(E15:E19))</f>
        <v/>
      </c>
      <c r="F20" s="23">
        <f>IF(COUNT(F15:F19)=0,"",SUM(F15:F19))</f>
        <v/>
      </c>
      <c r="G20" s="23">
        <f>IF(COUNT(G15:G19)=0,"",SUM(G15:G19))</f>
        <v/>
      </c>
    </row>
    <row r="21">
      <c r="A21" s="9" t="inlineStr">
        <is>
          <t>BNP-vækst i arket</t>
        </is>
      </c>
      <c r="B21" s="18">
        <f>IF('Nøgletal'!C9="","",'Nøgletal'!C9)</f>
        <v/>
      </c>
      <c r="C21" s="18">
        <f>IF('Nøgletal'!D9="","",'Nøgletal'!D9)</f>
        <v/>
      </c>
      <c r="D21" s="18">
        <f>IF('Nøgletal'!E9="","",'Nøgletal'!E9)</f>
        <v/>
      </c>
      <c r="E21" s="18">
        <f>IF('Nøgletal'!F9="","",'Nøgletal'!F9)</f>
        <v/>
      </c>
      <c r="F21" s="18">
        <f>IF('Nøgletal'!G9="","",'Nøgletal'!G9)</f>
        <v/>
      </c>
      <c r="G21" s="18">
        <f>IF('Nøgletal'!H9="","",'Nøgletal'!H9)</f>
        <v/>
      </c>
    </row>
    <row r="22">
      <c r="A22" s="9" t="inlineStr">
        <is>
          <t>Afvigelse</t>
        </is>
      </c>
      <c r="B22" s="18">
        <f>IF(OR(B20="",B21=""),"",B20-B21)</f>
        <v/>
      </c>
      <c r="C22" s="18">
        <f>IF(OR(C20="",C21=""),"",C20-C21)</f>
        <v/>
      </c>
      <c r="D22" s="18">
        <f>IF(OR(D20="",D21=""),"",D20-D21)</f>
        <v/>
      </c>
      <c r="E22" s="18">
        <f>IF(OR(E20="",E21=""),"",E20-E21)</f>
        <v/>
      </c>
      <c r="F22" s="18">
        <f>IF(OR(F20="",F21=""),"",F20-F21)</f>
        <v/>
      </c>
      <c r="G22" s="18">
        <f>IF(OR(G20="",G21=""),"",G20-G21)</f>
        <v/>
      </c>
    </row>
    <row r="23">
      <c r="A23" s="9" t="inlineStr">
        <is>
          <t>Kontrol</t>
        </is>
      </c>
      <c r="B23" s="24">
        <f>IF(B22="","",IF(ABS(B22)&lt;=0.3,"OK","TJEK"))</f>
        <v/>
      </c>
      <c r="C23" s="24">
        <f>IF(C22="","",IF(ABS(C22)&lt;=0.3,"OK","TJEK"))</f>
        <v/>
      </c>
      <c r="D23" s="24">
        <f>IF(D22="","",IF(ABS(D22)&lt;=0.3,"OK","TJEK"))</f>
        <v/>
      </c>
      <c r="E23" s="24">
        <f>IF(E22="","",IF(ABS(E22)&lt;=0.3,"OK","TJEK"))</f>
        <v/>
      </c>
      <c r="F23" s="24">
        <f>IF(F22="","",IF(ABS(F22)&lt;=0.3,"OK","TJEK"))</f>
        <v/>
      </c>
      <c r="G23" s="24">
        <f>IF(G22="","",IF(ABS(G22)&lt;=0.3,"OK","TJEK"))</f>
        <v/>
      </c>
    </row>
    <row r="25">
      <c r="A25" s="25" t="inlineStr">
        <is>
          <t>Afvigelsen bør ligge under ca. 0,3 pct.point. Vægtene er låst til 2020, mens de reelle vægte forskyder sig over tid, så en lille afvigelse er normal og ikke en fejl. Står der TJEK, er tallene sandsynligvis hentet fra forskellige årgange eller kilder.</t>
        </is>
      </c>
    </row>
    <row r="26"/>
    <row r="27"/>
    <row r="29">
      <c r="A29" s="3" t="inlineStr">
        <is>
          <t xml:space="preserve">  NOMINEL BNP-VÆKST OG GÆLDSDYNAMIK</t>
        </is>
      </c>
      <c r="B29" s="4" t="n"/>
      <c r="C29" s="4" t="n"/>
      <c r="D29" s="4" t="n"/>
      <c r="E29" s="4" t="n"/>
      <c r="F29" s="4" t="n"/>
      <c r="G29" s="4" t="n"/>
      <c r="H29" s="4" t="n"/>
    </row>
    <row r="30">
      <c r="A30" s="17" t="inlineStr"/>
      <c r="B30" s="6" t="n">
        <v>2021</v>
      </c>
      <c r="C30" s="6" t="n">
        <v>2022</v>
      </c>
      <c r="D30" s="6" t="n">
        <v>2023</v>
      </c>
      <c r="E30" s="6" t="n">
        <v>2024</v>
      </c>
      <c r="F30" s="6" t="n">
        <v>2025</v>
      </c>
      <c r="G30" s="6" t="n">
        <v>2026</v>
      </c>
    </row>
    <row r="31">
      <c r="A31" s="15" t="inlineStr">
        <is>
          <t>Realvækst</t>
        </is>
      </c>
      <c r="B31" s="11">
        <f>IF('Nøgletal'!C9="","",'Nøgletal'!C9)</f>
        <v/>
      </c>
      <c r="C31" s="11">
        <f>IF('Nøgletal'!D9="","",'Nøgletal'!D9)</f>
        <v/>
      </c>
      <c r="D31" s="11">
        <f>IF('Nøgletal'!E9="","",'Nøgletal'!E9)</f>
        <v/>
      </c>
      <c r="E31" s="11">
        <f>IF('Nøgletal'!F9="","",'Nøgletal'!F9)</f>
        <v/>
      </c>
      <c r="F31" s="11">
        <f>IF('Nøgletal'!G9="","",'Nøgletal'!G9)</f>
        <v/>
      </c>
      <c r="G31" s="11">
        <f>IF('Nøgletal'!H9="","",'Nøgletal'!H9)</f>
        <v/>
      </c>
    </row>
    <row r="32">
      <c r="A32" s="15" t="inlineStr">
        <is>
          <t>BNP-deflator</t>
        </is>
      </c>
      <c r="B32" s="11">
        <f>IF('Nøgletal'!C28="","",'Nøgletal'!C28)</f>
        <v/>
      </c>
      <c r="C32" s="11">
        <f>IF('Nøgletal'!D28="","",'Nøgletal'!D28)</f>
        <v/>
      </c>
      <c r="D32" s="11">
        <f>IF('Nøgletal'!E28="","",'Nøgletal'!E28)</f>
        <v/>
      </c>
      <c r="E32" s="11">
        <f>IF('Nøgletal'!F28="","",'Nøgletal'!F28)</f>
        <v/>
      </c>
      <c r="F32" s="11">
        <f>IF('Nøgletal'!G28="","",'Nøgletal'!G28)</f>
        <v/>
      </c>
      <c r="G32" s="11">
        <f>IF('Nøgletal'!H28="","",'Nøgletal'!H28)</f>
        <v/>
      </c>
    </row>
    <row r="33">
      <c r="A33" s="9" t="inlineStr">
        <is>
          <t>Nominel BNP-vækst</t>
        </is>
      </c>
      <c r="B33" s="26">
        <f>IF(OR(B31="",B32=""),"",B31+B32)</f>
        <v/>
      </c>
      <c r="C33" s="26">
        <f>IF(OR(C31="",C32=""),"",C31+C32)</f>
        <v/>
      </c>
      <c r="D33" s="26">
        <f>IF(OR(D31="",D32=""),"",D31+D32)</f>
        <v/>
      </c>
      <c r="E33" s="26">
        <f>IF(OR(E31="",E32=""),"",E31+E32)</f>
        <v/>
      </c>
      <c r="F33" s="26">
        <f>IF(OR(F31="",F32=""),"",F31+F32)</f>
        <v/>
      </c>
      <c r="G33" s="26">
        <f>IF(OR(G31="",G32=""),"",G31+G32)</f>
        <v/>
      </c>
    </row>
    <row r="34">
      <c r="A34" s="15" t="inlineStr">
        <is>
          <t>Offentlig gæld (pct. af BNP)</t>
        </is>
      </c>
      <c r="B34" s="11">
        <f>IF('Nøgletal'!C23="","",'Nøgletal'!C23)</f>
        <v/>
      </c>
      <c r="C34" s="11">
        <f>IF('Nøgletal'!D23="","",'Nøgletal'!D23)</f>
        <v/>
      </c>
      <c r="D34" s="11">
        <f>IF('Nøgletal'!E23="","",'Nøgletal'!E23)</f>
        <v/>
      </c>
      <c r="E34" s="11">
        <f>IF('Nøgletal'!F23="","",'Nøgletal'!F23)</f>
        <v/>
      </c>
      <c r="F34" s="11">
        <f>IF('Nøgletal'!G23="","",'Nøgletal'!G23)</f>
        <v/>
      </c>
      <c r="G34" s="11">
        <f>IF('Nøgletal'!H23="","",'Nøgletal'!H23)</f>
        <v/>
      </c>
    </row>
    <row r="35">
      <c r="A35" s="9" t="inlineStr">
        <is>
          <t>Ændring i gældskvote</t>
        </is>
      </c>
      <c r="B35" s="27" t="inlineStr"/>
      <c r="C35" s="26">
        <f>IF(OR(C34="",B34=""),"",C34-B34)</f>
        <v/>
      </c>
      <c r="D35" s="26">
        <f>IF(OR(D34="",C34=""),"",D34-C34)</f>
        <v/>
      </c>
      <c r="E35" s="26">
        <f>IF(OR(E34="",D34=""),"",E34-D34)</f>
        <v/>
      </c>
      <c r="F35" s="26">
        <f>IF(OR(F34="",E34=""),"",F34-E34)</f>
        <v/>
      </c>
      <c r="G35" s="26">
        <f>IF(OR(G34="",F34=""),"",G34-F34)</f>
        <v/>
      </c>
    </row>
    <row r="37">
      <c r="A37" s="25" t="inlineStr">
        <is>
          <t>Pointe til analysen: gældskvoten stiger i de år, hvor den nominelle BNP-vækst er lav, og stabiliseres i de år, hvor inflationen løfter den nominelle vækst — selv om der stadig er underskud på den offentlige saldo.</t>
        </is>
      </c>
    </row>
    <row r="38"/>
    <row r="39"/>
    <row r="41">
      <c r="A41" s="3" t="inlineStr">
        <is>
          <t xml:space="preserve">  AFLEDT: REAL DISPONIBEL INDKOMST (OVERSLAG)</t>
        </is>
      </c>
      <c r="B41" s="4" t="n"/>
      <c r="C41" s="4" t="n"/>
      <c r="D41" s="4" t="n"/>
      <c r="E41" s="4" t="n"/>
      <c r="F41" s="4" t="n"/>
      <c r="G41" s="4" t="n"/>
      <c r="H41" s="4" t="n"/>
    </row>
    <row r="42">
      <c r="A42" s="17" t="inlineStr"/>
      <c r="B42" s="6" t="n">
        <v>2021</v>
      </c>
      <c r="C42" s="6" t="n">
        <v>2022</v>
      </c>
      <c r="D42" s="6" t="n">
        <v>2023</v>
      </c>
      <c r="E42" s="6" t="n">
        <v>2024</v>
      </c>
      <c r="F42" s="6" t="n">
        <v>2025</v>
      </c>
      <c r="G42" s="6" t="n">
        <v>2026</v>
      </c>
    </row>
    <row r="43">
      <c r="A43" s="15" t="inlineStr">
        <is>
          <t>Nominel disponibel indkomst</t>
        </is>
      </c>
      <c r="B43" s="27" t="inlineStr">
        <is>
          <t>n/a</t>
        </is>
      </c>
      <c r="C43" s="18">
        <f>IF(OR('Nøgletal'!D10="",'Nøgletal'!D18="",'Nøgletal'!D21="",'Nøgletal'!C21=""),"",((1+'Nøgletal'!D10/100)*(1+'Nøgletal'!D18/100)*((1-'Nøgletal'!C21/100)/(1-'Nøgletal'!D21/100))-1)*100)</f>
        <v/>
      </c>
      <c r="D43" s="18">
        <f>IF(OR('Nøgletal'!E10="",'Nøgletal'!E18="",'Nøgletal'!E21="",'Nøgletal'!D21=""),"",((1+'Nøgletal'!E10/100)*(1+'Nøgletal'!E18/100)*((1-'Nøgletal'!D21/100)/(1-'Nøgletal'!E21/100))-1)*100)</f>
        <v/>
      </c>
      <c r="E43" s="18">
        <f>IF(OR('Nøgletal'!F10="",'Nøgletal'!F18="",'Nøgletal'!F21="",'Nøgletal'!E21=""),"",((1+'Nøgletal'!F10/100)*(1+'Nøgletal'!F18/100)*((1-'Nøgletal'!E21/100)/(1-'Nøgletal'!F21/100))-1)*100)</f>
        <v/>
      </c>
      <c r="F43" s="18">
        <f>IF(OR('Nøgletal'!G10="",'Nøgletal'!G18="",'Nøgletal'!G21="",'Nøgletal'!F21=""),"",((1+'Nøgletal'!G10/100)*(1+'Nøgletal'!G18/100)*((1-'Nøgletal'!F21/100)/(1-'Nøgletal'!G21/100))-1)*100)</f>
        <v/>
      </c>
      <c r="G43" s="18">
        <f>IF(OR('Nøgletal'!H10="",'Nøgletal'!H18="",'Nøgletal'!H21="",'Nøgletal'!G21=""),"",((1+'Nøgletal'!H10/100)*(1+'Nøgletal'!H18/100)*((1-'Nøgletal'!G21/100)/(1-'Nøgletal'!H21/100))-1)*100)</f>
        <v/>
      </c>
    </row>
    <row r="44">
      <c r="A44" s="15" t="inlineStr">
        <is>
          <t>Forbrugerprisændring</t>
        </is>
      </c>
      <c r="B44" s="11">
        <f>IF('Nøgletal'!C18="","",'Nøgletal'!C18)</f>
        <v/>
      </c>
      <c r="C44" s="11">
        <f>IF('Nøgletal'!D18="","",'Nøgletal'!D18)</f>
        <v/>
      </c>
      <c r="D44" s="11">
        <f>IF('Nøgletal'!E18="","",'Nøgletal'!E18)</f>
        <v/>
      </c>
      <c r="E44" s="11">
        <f>IF('Nøgletal'!F18="","",'Nøgletal'!F18)</f>
        <v/>
      </c>
      <c r="F44" s="11">
        <f>IF('Nøgletal'!G18="","",'Nøgletal'!G18)</f>
        <v/>
      </c>
      <c r="G44" s="11">
        <f>IF('Nøgletal'!H18="","",'Nøgletal'!H18)</f>
        <v/>
      </c>
    </row>
    <row r="45">
      <c r="A45" s="9" t="inlineStr">
        <is>
          <t>Real disponibel indkomst</t>
        </is>
      </c>
      <c r="B45" s="27" t="inlineStr">
        <is>
          <t>n/a</t>
        </is>
      </c>
      <c r="C45" s="23">
        <f>IF(OR(C43="",C44=""),"",((1+C43/100)/(1+C44/100)-1)*100)</f>
        <v/>
      </c>
      <c r="D45" s="23">
        <f>IF(OR(D43="",D44=""),"",((1+D43/100)/(1+D44/100)-1)*100)</f>
        <v/>
      </c>
      <c r="E45" s="23">
        <f>IF(OR(E43="",E44=""),"",((1+E43/100)/(1+E44/100)-1)*100)</f>
        <v/>
      </c>
      <c r="F45" s="23">
        <f>IF(OR(F43="",F44=""),"",((1+F43/100)/(1+F44/100)-1)*100)</f>
        <v/>
      </c>
      <c r="G45" s="23">
        <f>IF(OR(G43="",G44=""),"",((1+G43/100)/(1+G44/100)-1)*100)</f>
        <v/>
      </c>
    </row>
    <row r="47">
      <c r="A47" s="25" t="inlineStr">
        <is>
          <t>Beregnet ud fra sammenhængen forbrug = disponibel indkomst gange (1 minus opsparingskvoten). Det er et OVERSLAG: forbrugerprisindekset bruges som deflator for indkomsten, og OECD's opsparingskvote er opgjort på et lidt andet grundlag. Erstat med faktiske løndata, når række 40-41 i arket 'Nøgletal' er udfyldt.</t>
        </is>
      </c>
    </row>
    <row r="48"/>
    <row r="49"/>
    <row r="50"/>
  </sheetData>
  <mergeCells count="3">
    <mergeCell ref="A47:H50"/>
    <mergeCell ref="A37:H39"/>
    <mergeCell ref="A25:H27"/>
  </mergeCells>
  <conditionalFormatting sqref="B23:G23">
    <cfRule type="cellIs" priority="1" operator="equal" dxfId="0">
      <formula>"OK"</formula>
    </cfRule>
    <cfRule type="cellIs" priority="2" operator="equal" dxfId="1">
      <formula>"TJEK"</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6" customWidth="1" min="1" max="1"/>
    <col width="34" customWidth="1" min="2" max="2"/>
    <col width="26" customWidth="1" min="3" max="3"/>
    <col width="46" customWidth="1" min="4" max="4"/>
    <col width="30" customWidth="1" min="5" max="5"/>
  </cols>
  <sheetData>
    <row r="1">
      <c r="A1" s="1" t="inlineStr">
        <is>
          <t>Kilder, huller og kildekritik</t>
        </is>
      </c>
    </row>
    <row r="2">
      <c r="A2" s="2" t="inlineStr">
        <is>
          <t>Dette ark er dokumentation. Det skal ikke i rapporten, men indholdet skal bruges i metodeafsnittet.</t>
        </is>
      </c>
    </row>
    <row r="4">
      <c r="A4" s="3" t="inlineStr">
        <is>
          <t xml:space="preserve">  A. HVAD DER SKAL HENTES — MED PRÆCIS NAVIGATION</t>
        </is>
      </c>
      <c r="B4" s="4" t="n"/>
      <c r="C4" s="4" t="n"/>
      <c r="D4" s="4" t="n"/>
      <c r="E4" s="4" t="n"/>
    </row>
    <row r="5">
      <c r="A5" s="28" t="inlineStr">
        <is>
          <t>Række i 'Nøgletal'</t>
        </is>
      </c>
      <c r="B5" s="28" t="inlineStr">
        <is>
          <t>Talserie</t>
        </is>
      </c>
      <c r="C5" s="28" t="inlineStr">
        <is>
          <t>Kilde</t>
        </is>
      </c>
      <c r="D5" s="28" t="inlineStr">
        <is>
          <t>Sådan finder du den</t>
        </is>
      </c>
      <c r="E5" s="28" t="inlineStr">
        <is>
          <t>Bruges til</t>
        </is>
      </c>
    </row>
    <row r="6" ht="58" customHeight="1">
      <c r="A6" s="29" t="inlineStr">
        <is>
          <t>9-14, 18-24, 28-30</t>
        </is>
      </c>
      <c r="B6" s="30" t="inlineStr">
        <is>
          <t>Hele forsyningsbalancen og nøgletallene for 2024, 2025 og 2026</t>
        </is>
      </c>
      <c r="C6" s="30" t="inlineStr">
        <is>
          <t>OECD, Economic Outlook (nyeste årgang)</t>
        </is>
      </c>
      <c r="D6" s="30" t="inlineStr">
        <is>
          <t>oecd.org → Economic Outlook → seneste udgave → 'Full report' → landekapitlet Japan → tabellen 'Japan: Demand, output and prices'. Tag ALLE rækker fra samme tabel.</t>
        </is>
      </c>
      <c r="E6" s="30" t="inlineStr">
        <is>
          <t>Hele analysen. Uden dette er 2024-25 stadig forældede prognoser.</t>
        </is>
      </c>
    </row>
    <row r="7" ht="58" customHeight="1">
      <c r="A7" s="29" t="inlineStr">
        <is>
          <t>36</t>
        </is>
      </c>
      <c r="B7" s="30" t="inlineStr">
        <is>
          <t>Effektiv valutakurs (indeks)</t>
        </is>
      </c>
      <c r="C7" s="30" t="inlineStr">
        <is>
          <t>Bank of Japan</t>
        </is>
      </c>
      <c r="D7" s="30" t="inlineStr">
        <is>
          <t>boj.or.jp → Statistics → 'Effective Exchange Rates (Nominal, Real)'. Brug den nominelle effektive kurs.</t>
        </is>
      </c>
      <c r="E7" s="30" t="inlineStr">
        <is>
          <t>Konkurrenceevne over for ALLE handelspartnere, ikke kun USA.</t>
        </is>
      </c>
    </row>
    <row r="8" ht="58" customHeight="1">
      <c r="A8" s="29" t="inlineStr">
        <is>
          <t>37</t>
        </is>
      </c>
      <c r="B8" s="30" t="inlineStr">
        <is>
          <t>Bytteforhold (terms of trade)</t>
        </is>
      </c>
      <c r="C8" s="30" t="inlineStr">
        <is>
          <t>OECD Economic Outlook, samme årgang</t>
        </is>
      </c>
      <c r="D8" s="30" t="inlineStr">
        <is>
          <t>Samme landekapitel som ovenfor, eller OECD Data Explorer → 'Terms of trade'.</t>
        </is>
      </c>
      <c r="E8" s="30" t="inlineStr">
        <is>
          <t>Viser om eksportfremgangen er mængde eller bare højere priser.</t>
        </is>
      </c>
    </row>
    <row r="9" ht="58" customHeight="1">
      <c r="A9" s="29" t="inlineStr">
        <is>
          <t>40-41</t>
        </is>
      </c>
      <c r="B9" s="30" t="inlineStr">
        <is>
          <t>Nominel løn og realløn</t>
        </is>
      </c>
      <c r="C9" s="30" t="inlineStr">
        <is>
          <t>OECD.Stat eller Japans MHLW</t>
        </is>
      </c>
      <c r="D9" s="30" t="inlineStr">
        <is>
          <t>OECD Data Explorer → 'Average annual wages'. Eller mhlw.go.jp → 'Monthly Labour Survey' → 'Real wage index'.</t>
        </is>
      </c>
      <c r="E9" s="30" t="inlineStr">
        <is>
          <t>Dokumenterer reallønsfaldet direkte i stedet for at aflede det. Bærer kæde B.</t>
        </is>
      </c>
    </row>
    <row r="10" ht="58" customHeight="1">
      <c r="A10" s="29" t="inlineStr">
        <is>
          <t>42</t>
        </is>
      </c>
      <c r="B10" s="30" t="inlineStr">
        <is>
          <t>Shunto-lønstigninger</t>
        </is>
      </c>
      <c r="C10" s="30" t="inlineStr">
        <is>
          <t>Rengo (JTUC) eller JILPT</t>
        </is>
      </c>
      <c r="D10" s="30" t="inlineStr">
        <is>
          <t>jtuc-rengo.org → 'Shunto results'. JILPT udgiver engelske opsummeringer.</t>
        </is>
      </c>
      <c r="E10" s="30" t="inlineStr">
        <is>
          <t>Kæde C: viser at lønnen ER steget nominelt — men ikke nok, og ikke for alle.</t>
        </is>
      </c>
    </row>
    <row r="11" ht="58" customHeight="1">
      <c r="A11" s="29" t="inlineStr">
        <is>
          <t>45-46</t>
        </is>
      </c>
      <c r="B11" s="30" t="inlineStr">
        <is>
          <t>Pengepolitisk rente og 10-årig statsrente</t>
        </is>
      </c>
      <c r="C11" s="30" t="inlineStr">
        <is>
          <t>Bank of Japan / OECD</t>
        </is>
      </c>
      <c r="D11" s="30" t="inlineStr">
        <is>
          <t>boj.or.jp → 'Statements on Monetary Policy' for styringsrenten. OECD Data Explorer → 'Long-term interest rates' for den 10-årige.</t>
        </is>
      </c>
      <c r="E11" s="30" t="inlineStr">
        <is>
          <t>Kæde D. Uden renten kan gældsrisikoen ikke vurderes.</t>
        </is>
      </c>
    </row>
    <row r="12" ht="58" customHeight="1">
      <c r="A12" s="29" t="inlineStr">
        <is>
          <t>49-50</t>
        </is>
      </c>
      <c r="B12" s="30" t="inlineStr">
        <is>
          <t>Befolkning og arbejdsstyrke</t>
        </is>
      </c>
      <c r="C12" s="30" t="inlineStr">
        <is>
          <t>Statistics Bureau of Japan / OECD</t>
        </is>
      </c>
      <c r="D12" s="30" t="inlineStr">
        <is>
          <t>stat.go.jp → 'Population Estimates' og 'Labour Force Survey'.</t>
        </is>
      </c>
      <c r="E12" s="30" t="inlineStr">
        <is>
          <t>Forklarer lav ledighed uden lønpres, og BNP pr. indbygger.</t>
        </is>
      </c>
    </row>
    <row r="14">
      <c r="A14" s="3" t="inlineStr">
        <is>
          <t xml:space="preserve">  B. KILDEKRITIK — KONKRETE FORBEHOLD TIL VORES EGET MATERIALE</t>
        </is>
      </c>
      <c r="B14" s="4" t="n"/>
      <c r="C14" s="4" t="n"/>
      <c r="D14" s="4" t="n"/>
      <c r="E14" s="4" t="n"/>
    </row>
    <row r="15" ht="74" customHeight="1">
      <c r="A15" s="29" t="inlineStr">
        <is>
          <t>1. Prognose er ikke facit</t>
        </is>
      </c>
      <c r="B15" s="30" t="inlineStr">
        <is>
          <t>OECD's Economic Outlook indeholder både realiserede tal og fremskrivninger i samme tabel. I den årgang, arket oprindeligt byggede på, var 2024 og 2025 fremskrivninger. Japans realiserede BNP-vækst i 2024 endte betydeligt lavere end de 1,0 pct., der stod i prognosen. Skriv i metodeafsnittet, hvilke år der er skøn, og marker det i tabellen.</t>
        </is>
      </c>
      <c r="C15" s="31" t="n"/>
      <c r="D15" s="31" t="n"/>
      <c r="E15" s="32" t="n"/>
    </row>
    <row r="16" ht="74" customHeight="1">
      <c r="A16" s="29" t="inlineStr">
        <is>
          <t>2. Samme nøgletal, vidt forskellige tal</t>
        </is>
      </c>
      <c r="B16" s="30" t="inlineStr">
        <is>
          <t>Under arbejdet med at opdatere arket fandt vi, at Japans offentlige gæld i 2024 opgøres til ca. 237 pct. af BNP i IMF's opgørelse mod ca. 245 pct. i OECD's, og at det offentlige underskud i 2024 opgøres til ca. 2,5 pct. af BNP hos IMF mod ca. 4,4 pct. hos OECD. Begge er korrekte — de måler bare ikke det samme (brutto- kontra nettogæld, og forskellige afgrænsninger af den offentlige sektor). DERFOR holder vi os til én kilde hele vejen igennem. Dette er et rigtig godt konkret eksempel at skrive ind i metodeafsnittet.</t>
        </is>
      </c>
      <c r="C16" s="31" t="n"/>
      <c r="D16" s="31" t="n"/>
      <c r="E16" s="32" t="n"/>
    </row>
    <row r="17" ht="74" customHeight="1">
      <c r="A17" s="29" t="inlineStr">
        <is>
          <t>3. Bruttogæld overdriver problemet</t>
        </is>
      </c>
      <c r="B17" s="30" t="inlineStr">
        <is>
          <t>Japans bruttogæld på ca. 245 pct. af BNP modsvares af, at staten selv ejer store finansielle aktiver, og at Bank of Japan ejer en meget stor del af statsobligationerne. Nettogælden er derfor væsentligt lavere. Det svækker ikke pointen om rentefølsomhed, men det nuancerer den — og hører hjemme i diskussionen.</t>
        </is>
      </c>
      <c r="C17" s="31" t="n"/>
      <c r="D17" s="31" t="n"/>
      <c r="E17" s="32" t="n"/>
    </row>
    <row r="18" ht="74" customHeight="1">
      <c r="A18" s="29" t="inlineStr">
        <is>
          <t>4. Shunto er ikke hele arbejdsmarkedet</t>
        </is>
      </c>
      <c r="B18" s="30" t="inlineStr">
        <is>
          <t>Shunto-tallene dækker Rengo-organiserede lønmodtagere, altså primært fastansatte i store virksomheder. En stor del af japanske lønmodtagere er ikke-fastansatte og er ikke omfattet. Bruger man 5 pct. som 'den japanske lønstigning', overvurderer man den. Brug den økonomidækkende lønstatistik som hovedtal og shunto som supplement.</t>
        </is>
      </c>
      <c r="C18" s="31" t="n"/>
      <c r="D18" s="31" t="n"/>
      <c r="E18" s="32" t="n"/>
    </row>
    <row r="19" ht="74" customHeight="1">
      <c r="A19" s="29" t="inlineStr">
        <is>
          <t>5. Kvalitative kilder er formålsudarbejdede</t>
        </is>
      </c>
      <c r="B19" s="30" t="inlineStr">
        <is>
          <t>Centralbanker, erhvervsmedier og investeringsbanker har hver deres interesse i, hvordan japansk pengepolitik og yensvækkelse fremstilles. Forhold jer til afsenderen, ikke kun til indholdet.</t>
        </is>
      </c>
      <c r="C19" s="31" t="n"/>
      <c r="D19" s="31" t="n"/>
      <c r="E19" s="32" t="n"/>
    </row>
    <row r="21">
      <c r="A21" s="3" t="inlineStr">
        <is>
          <t xml:space="preserve">  C. TAL FUNDET VED SØGNING — IKKE VERIFICERET MOD PRIMÆRKILDE</t>
        </is>
      </c>
      <c r="B21" s="4" t="n"/>
      <c r="C21" s="4" t="n"/>
      <c r="D21" s="4" t="n"/>
      <c r="E21" s="4" t="n"/>
    </row>
    <row r="22" ht="32" customHeight="1">
      <c r="A22" s="33" t="inlineStr">
        <is>
          <t>ADVARSEL: nedenstående er samlet fra søgeresultater, ikke fra kildernes egne sider. De må IKKE bruges i rapporten, før I selv har slået dem op. De står her, så I ved, hvad I skal lede efter.</t>
        </is>
      </c>
      <c r="B22" s="31" t="n"/>
      <c r="C22" s="31" t="n"/>
      <c r="D22" s="31" t="n"/>
      <c r="E22" s="32" t="n"/>
    </row>
    <row r="23">
      <c r="A23" s="7" t="inlineStr">
        <is>
          <t>Tal</t>
        </is>
      </c>
      <c r="B23" s="7" t="inlineStr">
        <is>
          <t>Værdi</t>
        </is>
      </c>
      <c r="C23" s="7" t="inlineStr">
        <is>
          <t>Angivet kilde</t>
        </is>
      </c>
      <c r="D23" s="7" t="inlineStr">
        <is>
          <t>Forbehold</t>
        </is>
      </c>
      <c r="E23" s="7" t="inlineStr"/>
    </row>
    <row r="24" ht="42" customHeight="1">
      <c r="A24" s="30" t="inlineStr">
        <is>
          <t>BNP-vækst 2025</t>
        </is>
      </c>
      <c r="B24" s="30" t="inlineStr">
        <is>
          <t>1,1 pct.</t>
        </is>
      </c>
      <c r="C24" s="30" t="inlineStr">
        <is>
          <t>Japans Cabinet Office (kalenderår)</t>
        </is>
      </c>
      <c r="D24" s="30" t="inlineStr">
        <is>
          <t>Cabinet Office, ikke OECD. Kan afvige fra OECD's tal og fra finansårsopgørelsen.</t>
        </is>
      </c>
      <c r="E24" s="30" t="inlineStr"/>
    </row>
    <row r="25" ht="42" customHeight="1">
      <c r="A25" s="30" t="inlineStr">
        <is>
          <t>BNP-vækst 2026 (prognose)</t>
        </is>
      </c>
      <c r="B25" s="30" t="inlineStr">
        <is>
          <t>0,6 pct.</t>
        </is>
      </c>
      <c r="C25" s="30" t="inlineStr">
        <is>
          <t>OECD Economic Outlook, juni 2026</t>
        </is>
      </c>
      <c r="D25" s="30" t="inlineStr">
        <is>
          <t>Bemærk at OECD's egen Japan-survey fra maj 2026 angav 0,7 pct., og december-udgaven 2025 angav 0,9 pct. Brug den nyeste.</t>
        </is>
      </c>
      <c r="E25" s="30" t="inlineStr"/>
    </row>
    <row r="26" ht="42" customHeight="1">
      <c r="A26" s="30" t="inlineStr">
        <is>
          <t>BNP-vækst 2027 (prognose)</t>
        </is>
      </c>
      <c r="B26" s="30" t="inlineStr">
        <is>
          <t>0,8 pct.</t>
        </is>
      </c>
      <c r="C26" s="30" t="inlineStr">
        <is>
          <t>OECD Economic Outlook, juni 2026</t>
        </is>
      </c>
      <c r="D26" s="30" t="inlineStr">
        <is>
          <t>Samme forbehold.</t>
        </is>
      </c>
      <c r="E26" s="30" t="inlineStr"/>
    </row>
    <row r="27" ht="42" customHeight="1">
      <c r="A27" s="30" t="inlineStr">
        <is>
          <t>Ledighed 2024 / 2025</t>
        </is>
      </c>
      <c r="B27" s="30" t="inlineStr">
        <is>
          <t>2,5 / ca. 2,5 pct.</t>
        </is>
      </c>
      <c r="C27" s="30" t="inlineStr">
        <is>
          <t>OECD / Japans arbejdsmarkedsstatistik</t>
        </is>
      </c>
      <c r="D27" s="30" t="inlineStr">
        <is>
          <t>Tæt på arkets nuværende 2,5 og 2,4. Skal bekræftes.</t>
        </is>
      </c>
      <c r="E27" s="30" t="inlineStr"/>
    </row>
    <row r="28" ht="42" customHeight="1">
      <c r="A28" s="30" t="inlineStr">
        <is>
          <t>Betalingsbalance 2024</t>
        </is>
      </c>
      <c r="B28" s="30" t="inlineStr">
        <is>
          <t>4,8 pct. af BNP</t>
        </is>
      </c>
      <c r="C28" s="30" t="inlineStr">
        <is>
          <t>IMF Article IV, 2025</t>
        </is>
      </c>
      <c r="D28" s="30" t="inlineStr">
        <is>
          <t>IMF-opgørelse. Arket har 3,8 pct. fra OECD. Brug OECD for konsistens.</t>
        </is>
      </c>
      <c r="E28" s="30" t="inlineStr"/>
    </row>
    <row r="29" ht="42" customHeight="1">
      <c r="A29" s="30" t="inlineStr">
        <is>
          <t>Valutakurs JPY/USD</t>
        </is>
      </c>
      <c r="B29" s="30" t="inlineStr">
        <is>
          <t>2021: 109,8 · 2022: 131,5 · 2023: 140,5 · 2024: 151,5 · 2025: 149,6</t>
        </is>
      </c>
      <c r="C29" s="30" t="inlineStr">
        <is>
          <t>FRED, serie AEXJPUS (årsgennemsnit)</t>
        </is>
      </c>
      <c r="D29" s="30" t="inlineStr">
        <is>
          <t>Indsat i arket, men skal verificeres. Viser yensvækkelsen tydeligt — central for analysen.</t>
        </is>
      </c>
      <c r="E29" s="30" t="inlineStr"/>
    </row>
    <row r="30" ht="42" customHeight="1">
      <c r="A30" s="30" t="inlineStr">
        <is>
          <t>BoJ styringsrente</t>
        </is>
      </c>
      <c r="B30" s="30" t="inlineStr">
        <is>
          <t>2020-2023: −0,10 pct. · ultimo 2024: 0,25 pct. · juli 2026: 1,00 pct.</t>
        </is>
      </c>
      <c r="C30" s="30" t="inlineStr">
        <is>
          <t>Bank of Japan</t>
        </is>
      </c>
      <c r="D30" s="30" t="inlineStr">
        <is>
          <t>Ultimo 2025 mangler. BoJ hævede ad flere omgange i 2025 — find den præcise dato og sats.</t>
        </is>
      </c>
      <c r="E30" s="30" t="inlineStr"/>
    </row>
    <row r="31" ht="42" customHeight="1">
      <c r="A31" s="30" t="inlineStr">
        <is>
          <t>Realløn</t>
        </is>
      </c>
      <c r="B31" s="30" t="inlineStr">
        <is>
          <t>Faldt kumuleret ca. 2 pct. fra 1. kvt. 2021 til 1. kvt. 2025; steg 1,4 pct. år/år i jan. 2026</t>
        </is>
      </c>
      <c r="C31" s="30" t="inlineStr">
        <is>
          <t>OECD Employment Outlook 2025 m.fl.</t>
        </is>
      </c>
      <c r="D31" s="30" t="inlineStr">
        <is>
          <t>Understøtter kæde B direkte. Find den fulde årsserie.</t>
        </is>
      </c>
      <c r="E31" s="30" t="inlineStr"/>
    </row>
    <row r="32" ht="42" customHeight="1">
      <c r="A32" s="30" t="inlineStr">
        <is>
          <t>Shunto 2024 / 2025</t>
        </is>
      </c>
      <c r="B32" s="30" t="inlineStr">
        <is>
          <t>ca. 5,1 pct. / ca. 5,3 pct. (samlet, inkl. anciennitetsstigninger)</t>
        </is>
      </c>
      <c r="C32" s="30" t="inlineStr">
        <is>
          <t>Rengo</t>
        </is>
      </c>
      <c r="D32" s="30" t="inlineStr">
        <is>
          <t>Base pay alene var lavere (ca. 3,7 pct.). Vær præcis om hvilket af de to tal I bruger.</t>
        </is>
      </c>
      <c r="E32" s="30" t="inlineStr"/>
    </row>
  </sheetData>
  <mergeCells count="6">
    <mergeCell ref="B17:E17"/>
    <mergeCell ref="B18:E18"/>
    <mergeCell ref="B16:E16"/>
    <mergeCell ref="B15:E15"/>
    <mergeCell ref="B19:E19"/>
    <mergeCell ref="A22:E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2026-09-05T10:19:05Z</dcterms:created>
  <dcterms:modified xmlns:dcterms="http://purl.org/dc/terms/" xmlns:xsi="http://www.w3.org/2001/XMLSchema-instance" xsi:type="dcterms:W3CDTF">2026-09-05T10:19:05Z</dcterms:modified>
</cp:coreProperties>
</file>